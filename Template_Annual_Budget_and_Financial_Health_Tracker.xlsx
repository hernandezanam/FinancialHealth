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Starting Point" sheetId="1" r:id="rId4"/>
    <sheet state="visible" name="Annual Budget Plan" sheetId="2" r:id="rId5"/>
  </sheets>
  <definedNames/>
  <calcPr/>
  <extLst>
    <ext uri="GoogleSheetsCustomDataVersion2">
      <go:sheetsCustomData xmlns:go="http://customooxmlschemas.google.com/" r:id="rId6" roundtripDataChecksum="niwabODul4CfYEbXLTINfPXl52+sZix+ioSKqsJ2aP8="/>
    </ext>
  </extLst>
</workbook>
</file>

<file path=xl/sharedStrings.xml><?xml version="1.0" encoding="utf-8"?>
<sst xmlns="http://schemas.openxmlformats.org/spreadsheetml/2006/main" count="111" uniqueCount="106">
  <si>
    <t>12-Month Master Budget Plan &amp; Cash Flow Tracker</t>
  </si>
  <si>
    <t>Personal Financial Baseline &amp; Starting Health Assessment</t>
  </si>
  <si>
    <t>Enter your current assets, savings, debts, and personal profile below to establish your starting balance and financial health.</t>
  </si>
  <si>
    <t>Category / Income &amp; Expense Line</t>
  </si>
  <si>
    <t>Personal Profile &amp; Parameters</t>
  </si>
  <si>
    <t>FINANCIAL HEALTH DASHBOARD</t>
  </si>
  <si>
    <t>Annual Total</t>
  </si>
  <si>
    <t>Jan</t>
  </si>
  <si>
    <t>Feb</t>
  </si>
  <si>
    <t>Mar</t>
  </si>
  <si>
    <t>Current Age</t>
  </si>
  <si>
    <t>Apr</t>
  </si>
  <si>
    <t>May</t>
  </si>
  <si>
    <t>Jun</t>
  </si>
  <si>
    <t>Enter age in years</t>
  </si>
  <si>
    <t>Jul</t>
  </si>
  <si>
    <t>Aug</t>
  </si>
  <si>
    <t>Starting Gross Net Worth</t>
  </si>
  <si>
    <t>Sep</t>
  </si>
  <si>
    <t>Oct</t>
  </si>
  <si>
    <t>Nov</t>
  </si>
  <si>
    <t>Dec</t>
  </si>
  <si>
    <t>STARTING CASH BALANCE</t>
  </si>
  <si>
    <t>Total Assets minus Total Liabilities</t>
  </si>
  <si>
    <t>Annual Gross Income</t>
  </si>
  <si>
    <t>Used for Fidelity benchmark formula</t>
  </si>
  <si>
    <t>Liquid Starting Balance (Cash/Checking)</t>
  </si>
  <si>
    <t>Starting Cash Available for Budget</t>
  </si>
  <si>
    <t>Debt-to-Asset Ratio</t>
  </si>
  <si>
    <t>Lower than 40% is healthy</t>
  </si>
  <si>
    <t>EXPECTED INCOME SOURCES</t>
  </si>
  <si>
    <t>1. CURRENT ASSETS &amp; SAVINGS</t>
  </si>
  <si>
    <t>Emergency Fund Multiplier</t>
  </si>
  <si>
    <t>Primary Salary / Net Pay</t>
  </si>
  <si>
    <t>Target: 3 - 6 Months Expense Reserve</t>
  </si>
  <si>
    <t>Asset / Account Item</t>
  </si>
  <si>
    <t>Current Balance</t>
  </si>
  <si>
    <t>Notes / Account Type</t>
  </si>
  <si>
    <t>Checking Account Balance</t>
  </si>
  <si>
    <t>Emergency Savings Account</t>
  </si>
  <si>
    <t>Side Hustle / Freelance</t>
  </si>
  <si>
    <t>Investment / Brokerage Account</t>
  </si>
  <si>
    <t>Investment Income / Dividends</t>
  </si>
  <si>
    <t>Retirement Accounts (401k / IRA)</t>
  </si>
  <si>
    <t>Real Estate / Other Assets</t>
  </si>
  <si>
    <t>Other Cash Inflows</t>
  </si>
  <si>
    <t>Total Starting Assets</t>
  </si>
  <si>
    <t>TOTAL EXPECTED INCOME</t>
  </si>
  <si>
    <t>2. CURRENT DEBTS &amp; LIABILITIES</t>
  </si>
  <si>
    <t>Debt / Liability Item</t>
  </si>
  <si>
    <t>Current Balance Due</t>
  </si>
  <si>
    <t>Notes / Interest Rate</t>
  </si>
  <si>
    <t>Credit Card 1 Balance</t>
  </si>
  <si>
    <t>Credit Card 2 Balance</t>
  </si>
  <si>
    <t>Student Loans</t>
  </si>
  <si>
    <t>EXPECTED EXPENSES &amp; BUDGET OUTFLOWS</t>
  </si>
  <si>
    <t>Auto Loan / Car Debt</t>
  </si>
  <si>
    <t>Other Personal Liabilities</t>
  </si>
  <si>
    <t>Total Starting Liabilities</t>
  </si>
  <si>
    <t>Housing (Rent / Mortgage) [Needs (50%)]</t>
  </si>
  <si>
    <t>3. AGE-BASED SAVINGS BENCHMARKS &amp; ACADEMIC/FINANCIAL SYSTEMS</t>
  </si>
  <si>
    <t>Age Milestone</t>
  </si>
  <si>
    <t>Fidelity Retirement Benchmark</t>
  </si>
  <si>
    <t>Academic / Guideline Rule</t>
  </si>
  <si>
    <t>Expected Savings ($)</t>
  </si>
  <si>
    <t>Utilities &amp; Internet [Needs (50%)]</t>
  </si>
  <si>
    <t>Your Current Savings ($)</t>
  </si>
  <si>
    <t>Status / Gap ($)</t>
  </si>
  <si>
    <t>1x Annual Salary</t>
  </si>
  <si>
    <t>Groceries &amp; Food [Needs (50%)]</t>
  </si>
  <si>
    <t>Fidelity / Baseline Guideline</t>
  </si>
  <si>
    <t>Transportation / Auto Loan &amp; Fuel [Needs (50%)]</t>
  </si>
  <si>
    <t>Insurance (Health/Auto) [Needs (50%)]</t>
  </si>
  <si>
    <t>Dining Out &amp; Entertainment [Wants (30%)]</t>
  </si>
  <si>
    <t>Personal / Shopping / Hobbies [Wants (30%)]</t>
  </si>
  <si>
    <t>Debt Repayment (Credit Cards/Student) [Debt &amp; Savings (20%)]</t>
  </si>
  <si>
    <t>Savings Transfer (Emergency / Investments) [Debt &amp; Savings (20%)]</t>
  </si>
  <si>
    <t>2x Annual Salary</t>
  </si>
  <si>
    <t>Fidelity Guideline</t>
  </si>
  <si>
    <t>Subscriptions &amp; Miscellaneous [Wants (30%)]</t>
  </si>
  <si>
    <t>TOTAL EXPECTED EXPENSES</t>
  </si>
  <si>
    <t>3x Annual Salary</t>
  </si>
  <si>
    <t>4x Annual Salary</t>
  </si>
  <si>
    <t>NET MONTHLY CASH FLOW (Income - Expenses)</t>
  </si>
  <si>
    <t>6x Annual Salary</t>
  </si>
  <si>
    <t>ENDING CASH BALANCE</t>
  </si>
  <si>
    <t>7x Annual Salary</t>
  </si>
  <si>
    <t>8x Annual Salary</t>
  </si>
  <si>
    <t>10x Annual Salary</t>
  </si>
  <si>
    <t>Fidelity Full Retirement Benchmark</t>
  </si>
  <si>
    <t>ACADEMIC 50/30/20 RULE BUDGET COMPLIANCE ANALYSIS</t>
  </si>
  <si>
    <t>Academic Financial Guidelines &amp; Systems Applied:</t>
  </si>
  <si>
    <t>• 50/30/20 Rule (Elizabeth Warren / Harvard): 50% Needs, 30% Wants, 20% Savings &amp; Debt Repayment.</t>
  </si>
  <si>
    <t>• Fidelity Retirement Savings Rule: Savings targets linked to multiples of annual salary by age (e.g., 1x at 30, 3x at 40, 10x at 67).</t>
  </si>
  <si>
    <t>Category / System Bucket</t>
  </si>
  <si>
    <t>• Emergency Fund System: Maintain 3-6 months of essential living expenses in liquid high-yield savings.</t>
  </si>
  <si>
    <t>Recommended Target %</t>
  </si>
  <si>
    <t>Actual Annual Alloc. ($)</t>
  </si>
  <si>
    <t>Actual %</t>
  </si>
  <si>
    <t>Status vs Target</t>
  </si>
  <si>
    <t>Needs (Essential Living)</t>
  </si>
  <si>
    <t>Target &lt;= 50%</t>
  </si>
  <si>
    <t>Wants (Discretionary)</t>
  </si>
  <si>
    <t>Target &lt;= 30%</t>
  </si>
  <si>
    <t>Savings &amp; Debt Paydown</t>
  </si>
  <si>
    <t>Target &gt;= 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</si>
</sst>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;($#,##0.00);&quot;-&quot;"/>
    <numFmt numFmtId="165" formatCode="0.0%"/>
    <numFmt numFmtId="166" formatCode="0.0&quot; Months&quot;"/>
  </numFmts>
  <fonts count="9">
    <font>
      <sz val="11.0"/>
      <color theme="1"/>
      <name val="Calibri"/>
      <scheme val="minor"/>
    </font>
    <font>
      <b/>
      <sz val="16.0"/>
      <color rgb="FF1F497D"/>
      <name val="Arial"/>
    </font>
    <font>
      <i/>
      <sz val="11.0"/>
      <color rgb="FF595959"/>
      <name val="Arial"/>
    </font>
    <font>
      <b/>
      <sz val="11.0"/>
      <color rgb="FF1F497D"/>
      <name val="Arial"/>
    </font>
    <font>
      <b/>
      <sz val="11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i/>
      <sz val="9.0"/>
      <color rgb="FF59595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6FA8DC"/>
        <bgColor rgb="FF6FA8DC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left"/>
    </xf>
    <xf borderId="2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0" fillId="0" fontId="6" numFmtId="0" xfId="0" applyFont="1"/>
    <xf borderId="1" fillId="3" fontId="7" numFmtId="3" xfId="0" applyBorder="1" applyFill="1" applyFont="1" applyNumberFormat="1"/>
    <xf borderId="0" fillId="0" fontId="8" numFmtId="0" xfId="0" applyFont="1"/>
    <xf borderId="5" fillId="0" fontId="6" numFmtId="0" xfId="0" applyBorder="1" applyFont="1"/>
    <xf borderId="5" fillId="4" fontId="6" numFmtId="164" xfId="0" applyBorder="1" applyFill="1" applyFont="1" applyNumberFormat="1"/>
    <xf borderId="5" fillId="0" fontId="8" numFmtId="0" xfId="0" applyBorder="1" applyFont="1"/>
    <xf borderId="0" fillId="0" fontId="6" numFmtId="164" xfId="0" applyFont="1" applyNumberFormat="1"/>
    <xf borderId="1" fillId="3" fontId="7" numFmtId="164" xfId="0" applyAlignment="1" applyBorder="1" applyFill="1" applyFont="1" applyNumberFormat="1">
      <alignment readingOrder="0"/>
    </xf>
    <xf borderId="5" fillId="5" fontId="6" numFmtId="165" xfId="0" applyBorder="1" applyFill="1" applyFont="1" applyNumberFormat="1"/>
    <xf borderId="2" fillId="6" fontId="3" numFmtId="0" xfId="0" applyBorder="1" applyFill="1" applyFont="1"/>
    <xf borderId="2" fillId="2" fontId="4" numFmtId="0" xfId="0" applyBorder="1" applyFill="1" applyFont="1"/>
    <xf borderId="5" fillId="0" fontId="7" numFmtId="0" xfId="0" applyBorder="1" applyFont="1"/>
    <xf borderId="5" fillId="5" fontId="6" numFmtId="166" xfId="0" applyBorder="1" applyFill="1" applyFont="1" applyNumberFormat="1"/>
    <xf borderId="5" fillId="0" fontId="6" numFmtId="164" xfId="0" applyBorder="1" applyFont="1" applyNumberFormat="1"/>
    <xf borderId="5" fillId="6" fontId="6" numFmtId="0" xfId="0" applyBorder="1" applyFill="1" applyFont="1"/>
    <xf borderId="5" fillId="3" fontId="7" numFmtId="164" xfId="0" applyBorder="1" applyFill="1" applyFont="1" applyNumberFormat="1"/>
    <xf borderId="5" fillId="3" fontId="7" numFmtId="164" xfId="0" applyAlignment="1" applyBorder="1" applyFill="1" applyFont="1" applyNumberFormat="1">
      <alignment readingOrder="0"/>
    </xf>
    <xf borderId="5" fillId="0" fontId="7" numFmtId="0" xfId="0" applyAlignment="1" applyBorder="1" applyFont="1">
      <alignment readingOrder="0"/>
    </xf>
    <xf borderId="6" fillId="0" fontId="6" numFmtId="0" xfId="0" applyBorder="1" applyFont="1"/>
    <xf borderId="6" fillId="0" fontId="6" numFmtId="164" xfId="0" applyBorder="1" applyFont="1" applyNumberFormat="1"/>
    <xf borderId="5" fillId="0" fontId="7" numFmtId="0" xfId="0" applyAlignment="1" applyBorder="1" applyFont="1">
      <alignment horizontal="center"/>
    </xf>
    <xf borderId="5" fillId="0" fontId="7" numFmtId="164" xfId="0" applyBorder="1" applyFont="1" applyNumberFormat="1"/>
    <xf borderId="1" fillId="4" fontId="6" numFmtId="0" xfId="0" applyBorder="1" applyFill="1" applyFont="1"/>
    <xf borderId="1" fillId="4" fontId="6" numFmtId="164" xfId="0" applyBorder="1" applyFill="1" applyFont="1" applyNumberFormat="1"/>
    <xf borderId="6" fillId="4" fontId="6" numFmtId="164" xfId="0" applyBorder="1" applyFill="1" applyFont="1" applyNumberFormat="1"/>
    <xf borderId="5" fillId="0" fontId="7" numFmtId="165" xfId="0" applyBorder="1" applyFont="1" applyNumberFormat="1"/>
    <xf borderId="5" fillId="0" fontId="6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9.14"/>
    <col customWidth="1" min="3" max="3" width="35.0"/>
    <col customWidth="1" min="4" max="4" width="22.0"/>
    <col customWidth="1" min="5" max="5" width="38.0"/>
    <col customWidth="1" min="6" max="6" width="22.0"/>
    <col customWidth="1" min="7" max="7" width="35.0"/>
    <col customWidth="1" min="8" max="26" width="8.71"/>
  </cols>
  <sheetData>
    <row r="1">
      <c r="A1" s="1" t="s">
        <v>1</v>
      </c>
    </row>
    <row r="2">
      <c r="A2" s="2" t="s">
        <v>2</v>
      </c>
    </row>
    <row r="4">
      <c r="A4" s="3" t="s">
        <v>4</v>
      </c>
      <c r="E4" s="5" t="s">
        <v>5</v>
      </c>
      <c r="F4" s="7"/>
      <c r="G4" s="8"/>
    </row>
    <row r="5">
      <c r="A5" s="9" t="s">
        <v>10</v>
      </c>
      <c r="B5" s="10"/>
      <c r="C5" s="11" t="s">
        <v>14</v>
      </c>
      <c r="E5" s="12" t="s">
        <v>17</v>
      </c>
      <c r="F5" s="13">
        <f>B15-B24</f>
        <v>0</v>
      </c>
      <c r="G5" s="14" t="s">
        <v>23</v>
      </c>
    </row>
    <row r="6">
      <c r="A6" s="9" t="s">
        <v>24</v>
      </c>
      <c r="B6" s="16"/>
      <c r="C6" s="11" t="s">
        <v>25</v>
      </c>
      <c r="E6" s="12" t="s">
        <v>26</v>
      </c>
      <c r="F6" s="13">
        <f>B10+B11</f>
        <v>0</v>
      </c>
      <c r="G6" s="14" t="s">
        <v>27</v>
      </c>
    </row>
    <row r="7">
      <c r="E7" s="12" t="s">
        <v>28</v>
      </c>
      <c r="F7" s="17" t="str">
        <f>B24/B15</f>
        <v>#DIV/0!</v>
      </c>
      <c r="G7" s="14" t="s">
        <v>29</v>
      </c>
    </row>
    <row r="8">
      <c r="A8" s="19" t="s">
        <v>31</v>
      </c>
      <c r="B8" s="7"/>
      <c r="C8" s="8"/>
      <c r="E8" s="12" t="s">
        <v>32</v>
      </c>
      <c r="F8" s="21" t="str">
        <f>B11/((B6/12)*0.5)</f>
        <v>#DIV/0!</v>
      </c>
      <c r="G8" s="14" t="s">
        <v>34</v>
      </c>
    </row>
    <row r="9">
      <c r="A9" s="23" t="s">
        <v>35</v>
      </c>
      <c r="B9" s="23" t="s">
        <v>36</v>
      </c>
      <c r="C9" s="23" t="s">
        <v>37</v>
      </c>
    </row>
    <row r="10">
      <c r="A10" s="20" t="s">
        <v>38</v>
      </c>
      <c r="B10" s="24"/>
      <c r="C10" s="20"/>
    </row>
    <row r="11">
      <c r="A11" s="20" t="s">
        <v>39</v>
      </c>
      <c r="B11" s="25"/>
      <c r="C11" s="20"/>
    </row>
    <row r="12">
      <c r="A12" s="20" t="s">
        <v>41</v>
      </c>
      <c r="B12" s="24"/>
      <c r="C12" s="20"/>
    </row>
    <row r="13">
      <c r="A13" s="20" t="s">
        <v>43</v>
      </c>
      <c r="B13" s="24"/>
      <c r="C13" s="20"/>
    </row>
    <row r="14">
      <c r="A14" s="26" t="s">
        <v>44</v>
      </c>
      <c r="B14" s="24"/>
      <c r="C14" s="20"/>
    </row>
    <row r="15">
      <c r="A15" s="27" t="s">
        <v>46</v>
      </c>
      <c r="B15" s="28">
        <f>SUM(B10:B14)</f>
        <v>0</v>
      </c>
    </row>
    <row r="17">
      <c r="A17" s="19" t="s">
        <v>48</v>
      </c>
      <c r="B17" s="7"/>
      <c r="C17" s="8"/>
    </row>
    <row r="18">
      <c r="A18" s="23" t="s">
        <v>49</v>
      </c>
      <c r="B18" s="23" t="s">
        <v>50</v>
      </c>
      <c r="C18" s="23" t="s">
        <v>51</v>
      </c>
    </row>
    <row r="19">
      <c r="A19" s="20" t="s">
        <v>52</v>
      </c>
      <c r="B19" s="24"/>
      <c r="C19" s="20"/>
    </row>
    <row r="20">
      <c r="A20" s="20" t="s">
        <v>53</v>
      </c>
      <c r="B20" s="24"/>
      <c r="C20" s="20"/>
    </row>
    <row r="21" ht="15.75" customHeight="1">
      <c r="A21" s="20" t="s">
        <v>54</v>
      </c>
      <c r="B21" s="24"/>
      <c r="C21" s="20"/>
    </row>
    <row r="22" ht="15.75" customHeight="1">
      <c r="A22" s="20" t="s">
        <v>56</v>
      </c>
      <c r="B22" s="24"/>
      <c r="C22" s="20"/>
    </row>
    <row r="23" ht="15.75" customHeight="1">
      <c r="A23" s="20" t="s">
        <v>57</v>
      </c>
      <c r="B23" s="24"/>
      <c r="C23" s="20"/>
    </row>
    <row r="24" ht="15.75" customHeight="1">
      <c r="A24" s="27" t="s">
        <v>58</v>
      </c>
      <c r="B24" s="28">
        <f>SUM(B19:B23)</f>
        <v>0</v>
      </c>
    </row>
    <row r="25" ht="15.75" customHeight="1"/>
    <row r="26" ht="15.75" customHeight="1"/>
    <row r="27" ht="15.75" customHeight="1">
      <c r="A27" s="19" t="s">
        <v>60</v>
      </c>
      <c r="B27" s="7"/>
      <c r="C27" s="7"/>
      <c r="D27" s="7"/>
      <c r="E27" s="7"/>
      <c r="F27" s="7"/>
      <c r="G27" s="8"/>
    </row>
    <row r="28" ht="15.75" customHeight="1">
      <c r="A28" s="23" t="s">
        <v>61</v>
      </c>
      <c r="B28" s="23" t="s">
        <v>62</v>
      </c>
      <c r="C28" s="23" t="s">
        <v>63</v>
      </c>
      <c r="D28" s="23" t="s">
        <v>64</v>
      </c>
      <c r="E28" s="23" t="s">
        <v>66</v>
      </c>
      <c r="F28" s="23" t="s">
        <v>67</v>
      </c>
    </row>
    <row r="29" ht="15.75" customHeight="1">
      <c r="A29" s="29">
        <v>30.0</v>
      </c>
      <c r="B29" s="20" t="s">
        <v>68</v>
      </c>
      <c r="C29" s="20" t="s">
        <v>70</v>
      </c>
      <c r="D29" s="30">
        <f>B6*1</f>
        <v>0</v>
      </c>
      <c r="E29" s="30">
        <f>B12+B13</f>
        <v>0</v>
      </c>
      <c r="F29" s="22">
        <f t="shared" ref="F29:F36" si="1">E29-D29</f>
        <v>0</v>
      </c>
    </row>
    <row r="30" ht="15.75" customHeight="1">
      <c r="A30" s="29">
        <v>35.0</v>
      </c>
      <c r="B30" s="20" t="s">
        <v>77</v>
      </c>
      <c r="C30" s="20" t="s">
        <v>78</v>
      </c>
      <c r="D30" s="30">
        <f>B6*2</f>
        <v>0</v>
      </c>
      <c r="E30" s="30">
        <f>B12+B13</f>
        <v>0</v>
      </c>
      <c r="F30" s="22">
        <f t="shared" si="1"/>
        <v>0</v>
      </c>
    </row>
    <row r="31" ht="15.75" customHeight="1">
      <c r="A31" s="29">
        <v>40.0</v>
      </c>
      <c r="B31" s="20" t="s">
        <v>81</v>
      </c>
      <c r="C31" s="20" t="s">
        <v>78</v>
      </c>
      <c r="D31" s="30">
        <f>B6*3</f>
        <v>0</v>
      </c>
      <c r="E31" s="30">
        <f>B12+B13</f>
        <v>0</v>
      </c>
      <c r="F31" s="22">
        <f t="shared" si="1"/>
        <v>0</v>
      </c>
    </row>
    <row r="32" ht="15.75" customHeight="1">
      <c r="A32" s="29">
        <v>45.0</v>
      </c>
      <c r="B32" s="20" t="s">
        <v>82</v>
      </c>
      <c r="C32" s="20" t="s">
        <v>78</v>
      </c>
      <c r="D32" s="30">
        <f>B6*4</f>
        <v>0</v>
      </c>
      <c r="E32" s="30">
        <f>B12+B13</f>
        <v>0</v>
      </c>
      <c r="F32" s="22">
        <f t="shared" si="1"/>
        <v>0</v>
      </c>
    </row>
    <row r="33" ht="15.75" customHeight="1">
      <c r="A33" s="29">
        <v>50.0</v>
      </c>
      <c r="B33" s="20" t="s">
        <v>84</v>
      </c>
      <c r="C33" s="20" t="s">
        <v>78</v>
      </c>
      <c r="D33" s="30">
        <f>B6*6</f>
        <v>0</v>
      </c>
      <c r="E33" s="30">
        <f>B12+B13</f>
        <v>0</v>
      </c>
      <c r="F33" s="22">
        <f t="shared" si="1"/>
        <v>0</v>
      </c>
    </row>
    <row r="34" ht="15.75" customHeight="1">
      <c r="A34" s="29">
        <v>55.0</v>
      </c>
      <c r="B34" s="20" t="s">
        <v>86</v>
      </c>
      <c r="C34" s="20" t="s">
        <v>78</v>
      </c>
      <c r="D34" s="30">
        <f>B6*7</f>
        <v>0</v>
      </c>
      <c r="E34" s="30">
        <f>B12+B13</f>
        <v>0</v>
      </c>
      <c r="F34" s="22">
        <f t="shared" si="1"/>
        <v>0</v>
      </c>
    </row>
    <row r="35" ht="15.75" customHeight="1">
      <c r="A35" s="29">
        <v>60.0</v>
      </c>
      <c r="B35" s="20" t="s">
        <v>87</v>
      </c>
      <c r="C35" s="20" t="s">
        <v>78</v>
      </c>
      <c r="D35" s="30">
        <f>B6*8</f>
        <v>0</v>
      </c>
      <c r="E35" s="30">
        <f>B12+B13</f>
        <v>0</v>
      </c>
      <c r="F35" s="22">
        <f t="shared" si="1"/>
        <v>0</v>
      </c>
    </row>
    <row r="36" ht="15.75" customHeight="1">
      <c r="A36" s="29">
        <v>67.0</v>
      </c>
      <c r="B36" s="20" t="s">
        <v>88</v>
      </c>
      <c r="C36" s="20" t="s">
        <v>89</v>
      </c>
      <c r="D36" s="30">
        <f>B6*10</f>
        <v>0</v>
      </c>
      <c r="E36" s="30">
        <f>B12+B13</f>
        <v>0</v>
      </c>
      <c r="F36" s="22">
        <f t="shared" si="1"/>
        <v>0</v>
      </c>
    </row>
    <row r="37" ht="15.75" customHeight="1"/>
    <row r="38" ht="15.75" customHeight="1">
      <c r="A38" s="3" t="s">
        <v>91</v>
      </c>
    </row>
    <row r="39" ht="15.75" customHeight="1">
      <c r="A39" s="11" t="s">
        <v>92</v>
      </c>
    </row>
    <row r="40" ht="15.75" customHeight="1">
      <c r="A40" s="11" t="s">
        <v>93</v>
      </c>
    </row>
    <row r="41" ht="15.75" customHeight="1">
      <c r="A41" s="11" t="s">
        <v>95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4:C4"/>
    <mergeCell ref="E4:G4"/>
    <mergeCell ref="A8:C8"/>
    <mergeCell ref="A17:C17"/>
    <mergeCell ref="A27:G2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6.0"/>
    <col customWidth="1" min="3" max="3" width="39.0"/>
    <col customWidth="1" min="4" max="14" width="22.0"/>
    <col customWidth="1" min="15" max="15" width="12.0"/>
    <col customWidth="1" min="16" max="26" width="8.71"/>
  </cols>
  <sheetData>
    <row r="1">
      <c r="A1" s="1" t="s">
        <v>0</v>
      </c>
    </row>
    <row r="3">
      <c r="A3" s="4" t="s">
        <v>3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11</v>
      </c>
      <c r="G3" s="6" t="s">
        <v>12</v>
      </c>
      <c r="H3" s="6" t="s">
        <v>13</v>
      </c>
      <c r="I3" s="6" t="s">
        <v>15</v>
      </c>
      <c r="J3" s="6" t="s">
        <v>16</v>
      </c>
      <c r="K3" s="6" t="s">
        <v>18</v>
      </c>
      <c r="L3" s="6" t="s">
        <v>19</v>
      </c>
      <c r="M3" s="6" t="s">
        <v>20</v>
      </c>
      <c r="N3" s="6" t="s">
        <v>21</v>
      </c>
      <c r="O3" s="6"/>
    </row>
    <row r="4">
      <c r="A4" s="9" t="s">
        <v>22</v>
      </c>
      <c r="B4" s="15">
        <f>'Financial Starting Point'!F6</f>
        <v>0</v>
      </c>
      <c r="C4" s="15">
        <f>'Financial Starting Point'!F6</f>
        <v>0</v>
      </c>
      <c r="D4" s="15">
        <f t="shared" ref="D4:N4" si="1">C28</f>
        <v>0</v>
      </c>
      <c r="E4" s="15">
        <f t="shared" si="1"/>
        <v>0</v>
      </c>
      <c r="F4" s="15">
        <f t="shared" si="1"/>
        <v>0</v>
      </c>
      <c r="G4" s="15">
        <f t="shared" si="1"/>
        <v>0</v>
      </c>
      <c r="H4" s="15">
        <f t="shared" si="1"/>
        <v>0</v>
      </c>
      <c r="I4" s="15">
        <f t="shared" si="1"/>
        <v>0</v>
      </c>
      <c r="J4" s="15">
        <f t="shared" si="1"/>
        <v>0</v>
      </c>
      <c r="K4" s="15">
        <f t="shared" si="1"/>
        <v>0</v>
      </c>
      <c r="L4" s="15">
        <f t="shared" si="1"/>
        <v>0</v>
      </c>
      <c r="M4" s="15">
        <f t="shared" si="1"/>
        <v>0</v>
      </c>
      <c r="N4" s="15">
        <f t="shared" si="1"/>
        <v>0</v>
      </c>
    </row>
    <row r="5">
      <c r="A5" s="18" t="s">
        <v>30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>
      <c r="A6" s="20" t="s">
        <v>33</v>
      </c>
      <c r="B6" s="22">
        <f t="shared" ref="B6:B9" si="2">SUM(C6:N6)</f>
        <v>0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>
      <c r="A7" s="20" t="s">
        <v>40</v>
      </c>
      <c r="B7" s="22">
        <f t="shared" si="2"/>
        <v>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>
      <c r="A8" s="20" t="s">
        <v>42</v>
      </c>
      <c r="B8" s="22">
        <f t="shared" si="2"/>
        <v>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>
      <c r="A9" s="20" t="s">
        <v>45</v>
      </c>
      <c r="B9" s="22">
        <f t="shared" si="2"/>
        <v>0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>
      <c r="A10" s="27" t="s">
        <v>47</v>
      </c>
      <c r="B10" s="28">
        <f t="shared" ref="B10:N10" si="3">SUM(B6:B9)</f>
        <v>0</v>
      </c>
      <c r="C10" s="28">
        <f t="shared" si="3"/>
        <v>0</v>
      </c>
      <c r="D10" s="28">
        <f t="shared" si="3"/>
        <v>0</v>
      </c>
      <c r="E10" s="28">
        <f t="shared" si="3"/>
        <v>0</v>
      </c>
      <c r="F10" s="28">
        <f t="shared" si="3"/>
        <v>0</v>
      </c>
      <c r="G10" s="28">
        <f t="shared" si="3"/>
        <v>0</v>
      </c>
      <c r="H10" s="28">
        <f t="shared" si="3"/>
        <v>0</v>
      </c>
      <c r="I10" s="28">
        <f t="shared" si="3"/>
        <v>0</v>
      </c>
      <c r="J10" s="28">
        <f t="shared" si="3"/>
        <v>0</v>
      </c>
      <c r="K10" s="28">
        <f t="shared" si="3"/>
        <v>0</v>
      </c>
      <c r="L10" s="28">
        <f t="shared" si="3"/>
        <v>0</v>
      </c>
      <c r="M10" s="28">
        <f t="shared" si="3"/>
        <v>0</v>
      </c>
      <c r="N10" s="28">
        <f t="shared" si="3"/>
        <v>0</v>
      </c>
    </row>
    <row r="12">
      <c r="A12" s="18" t="s">
        <v>55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>
      <c r="A13" s="20" t="s">
        <v>59</v>
      </c>
      <c r="B13" s="22">
        <f t="shared" ref="B13:B22" si="4">SUM(C13:N13)</f>
        <v>0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>
      <c r="A14" s="20" t="s">
        <v>65</v>
      </c>
      <c r="B14" s="22">
        <f t="shared" si="4"/>
        <v>0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>
      <c r="A15" s="20" t="s">
        <v>69</v>
      </c>
      <c r="B15" s="22">
        <f t="shared" si="4"/>
        <v>0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>
      <c r="A16" s="20" t="s">
        <v>71</v>
      </c>
      <c r="B16" s="22">
        <f t="shared" si="4"/>
        <v>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>
      <c r="A17" s="20" t="s">
        <v>72</v>
      </c>
      <c r="B17" s="22">
        <f t="shared" si="4"/>
        <v>0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>
      <c r="A18" s="20" t="s">
        <v>73</v>
      </c>
      <c r="B18" s="22">
        <f t="shared" si="4"/>
        <v>0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>
      <c r="A19" s="20" t="s">
        <v>74</v>
      </c>
      <c r="B19" s="22">
        <f t="shared" si="4"/>
        <v>0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>
      <c r="A20" s="20" t="s">
        <v>75</v>
      </c>
      <c r="B20" s="22">
        <f t="shared" si="4"/>
        <v>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ht="15.75" customHeight="1">
      <c r="A21" s="20" t="s">
        <v>76</v>
      </c>
      <c r="B21" s="22">
        <f t="shared" si="4"/>
        <v>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ht="15.75" customHeight="1">
      <c r="A22" s="20" t="s">
        <v>79</v>
      </c>
      <c r="B22" s="22">
        <f t="shared" si="4"/>
        <v>0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ht="15.75" customHeight="1">
      <c r="A23" s="27" t="s">
        <v>80</v>
      </c>
      <c r="B23" s="28">
        <f t="shared" ref="B23:N23" si="5">SUM(B13:B22)</f>
        <v>0</v>
      </c>
      <c r="C23" s="28">
        <f t="shared" si="5"/>
        <v>0</v>
      </c>
      <c r="D23" s="28">
        <f t="shared" si="5"/>
        <v>0</v>
      </c>
      <c r="E23" s="28">
        <f t="shared" si="5"/>
        <v>0</v>
      </c>
      <c r="F23" s="28">
        <f t="shared" si="5"/>
        <v>0</v>
      </c>
      <c r="G23" s="28">
        <f t="shared" si="5"/>
        <v>0</v>
      </c>
      <c r="H23" s="28">
        <f t="shared" si="5"/>
        <v>0</v>
      </c>
      <c r="I23" s="28">
        <f t="shared" si="5"/>
        <v>0</v>
      </c>
      <c r="J23" s="28">
        <f t="shared" si="5"/>
        <v>0</v>
      </c>
      <c r="K23" s="28">
        <f t="shared" si="5"/>
        <v>0</v>
      </c>
      <c r="L23" s="28">
        <f t="shared" si="5"/>
        <v>0</v>
      </c>
      <c r="M23" s="28">
        <f t="shared" si="5"/>
        <v>0</v>
      </c>
      <c r="N23" s="28">
        <f t="shared" si="5"/>
        <v>0</v>
      </c>
    </row>
    <row r="24" ht="15.75" customHeight="1"/>
    <row r="25" ht="15.75" customHeight="1">
      <c r="A25" s="9" t="s">
        <v>83</v>
      </c>
      <c r="B25" s="15">
        <f t="shared" ref="B25:N25" si="6">B10-B23</f>
        <v>0</v>
      </c>
      <c r="C25" s="15">
        <f t="shared" si="6"/>
        <v>0</v>
      </c>
      <c r="D25" s="15">
        <f t="shared" si="6"/>
        <v>0</v>
      </c>
      <c r="E25" s="15">
        <f t="shared" si="6"/>
        <v>0</v>
      </c>
      <c r="F25" s="15">
        <f t="shared" si="6"/>
        <v>0</v>
      </c>
      <c r="G25" s="15">
        <f t="shared" si="6"/>
        <v>0</v>
      </c>
      <c r="H25" s="15">
        <f t="shared" si="6"/>
        <v>0</v>
      </c>
      <c r="I25" s="15">
        <f t="shared" si="6"/>
        <v>0</v>
      </c>
      <c r="J25" s="15">
        <f t="shared" si="6"/>
        <v>0</v>
      </c>
      <c r="K25" s="15">
        <f t="shared" si="6"/>
        <v>0</v>
      </c>
      <c r="L25" s="15">
        <f t="shared" si="6"/>
        <v>0</v>
      </c>
      <c r="M25" s="15">
        <f t="shared" si="6"/>
        <v>0</v>
      </c>
      <c r="N25" s="15">
        <f t="shared" si="6"/>
        <v>0</v>
      </c>
    </row>
    <row r="26" ht="15.75" customHeight="1"/>
    <row r="27" ht="15.75" customHeight="1"/>
    <row r="28" ht="15.75" customHeight="1">
      <c r="A28" s="31" t="s">
        <v>85</v>
      </c>
      <c r="B28" s="32">
        <f>C28</f>
        <v>0</v>
      </c>
      <c r="C28" s="33">
        <f t="shared" ref="C28:N28" si="7">C4+C25</f>
        <v>0</v>
      </c>
      <c r="D28" s="33">
        <f t="shared" si="7"/>
        <v>0</v>
      </c>
      <c r="E28" s="33">
        <f t="shared" si="7"/>
        <v>0</v>
      </c>
      <c r="F28" s="33">
        <f t="shared" si="7"/>
        <v>0</v>
      </c>
      <c r="G28" s="33">
        <f t="shared" si="7"/>
        <v>0</v>
      </c>
      <c r="H28" s="33">
        <f t="shared" si="7"/>
        <v>0</v>
      </c>
      <c r="I28" s="33">
        <f t="shared" si="7"/>
        <v>0</v>
      </c>
      <c r="J28" s="33">
        <f t="shared" si="7"/>
        <v>0</v>
      </c>
      <c r="K28" s="33">
        <f t="shared" si="7"/>
        <v>0</v>
      </c>
      <c r="L28" s="33">
        <f t="shared" si="7"/>
        <v>0</v>
      </c>
      <c r="M28" s="33">
        <f t="shared" si="7"/>
        <v>0</v>
      </c>
      <c r="N28" s="33">
        <f t="shared" si="7"/>
        <v>0</v>
      </c>
    </row>
    <row r="29" ht="15.75" customHeight="1"/>
    <row r="30" ht="15.75" customHeight="1"/>
    <row r="31" ht="15.75" customHeight="1">
      <c r="A31" s="19" t="s">
        <v>90</v>
      </c>
      <c r="B31" s="7"/>
      <c r="C31" s="7"/>
      <c r="D31" s="7"/>
      <c r="E31" s="8"/>
    </row>
    <row r="32" ht="15.75" customHeight="1">
      <c r="A32" s="23" t="s">
        <v>94</v>
      </c>
      <c r="B32" s="23" t="s">
        <v>96</v>
      </c>
      <c r="C32" s="23" t="s">
        <v>97</v>
      </c>
      <c r="D32" s="23" t="s">
        <v>98</v>
      </c>
      <c r="E32" s="23" t="s">
        <v>99</v>
      </c>
    </row>
    <row r="33" ht="15.75" customHeight="1">
      <c r="A33" s="20" t="s">
        <v>100</v>
      </c>
      <c r="B33" s="34">
        <v>0.5</v>
      </c>
      <c r="C33" s="30">
        <f>B13+B14+B15+B16+B17</f>
        <v>0</v>
      </c>
      <c r="D33" s="35" t="str">
        <f t="shared" ref="D33:D35" si="8">C33/$B$10</f>
        <v>#DIV/0!</v>
      </c>
      <c r="E33" s="14" t="s">
        <v>101</v>
      </c>
    </row>
    <row r="34" ht="15.75" customHeight="1">
      <c r="A34" s="20" t="s">
        <v>102</v>
      </c>
      <c r="B34" s="34">
        <v>0.3</v>
      </c>
      <c r="C34" s="30">
        <f>B18+B19+B22</f>
        <v>0</v>
      </c>
      <c r="D34" s="35" t="str">
        <f t="shared" si="8"/>
        <v>#DIV/0!</v>
      </c>
      <c r="E34" s="14" t="s">
        <v>103</v>
      </c>
    </row>
    <row r="35" ht="15.75" customHeight="1">
      <c r="A35" s="20" t="s">
        <v>104</v>
      </c>
      <c r="B35" s="34">
        <v>0.2</v>
      </c>
      <c r="C35" s="30">
        <f>B20+B21</f>
        <v>0</v>
      </c>
      <c r="D35" s="35" t="str">
        <f t="shared" si="8"/>
        <v>#DIV/0!</v>
      </c>
      <c r="E35" s="14" t="s">
        <v>105</v>
      </c>
    </row>
    <row r="36" ht="15.75" customHeight="1"/>
    <row r="37" ht="15.75" customHeight="1"/>
    <row r="38" ht="15.75" customHeight="1">
      <c r="A38" s="1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5:O5"/>
    <mergeCell ref="A12:O12"/>
    <mergeCell ref="A31:E3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2026-09-20T19:06:12Z</dcterms:created>
  <dc:creator>openpyxl</dc:creator>
</cp:coreProperties>
</file>